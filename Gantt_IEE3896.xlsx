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printerSettings/printerSettings1.bin" ContentType="application/vnd.openxmlformats-officedocument.spreadsheetml.printerSettings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30430"/>
  <workbookPr/>
  <bookViews>
    <workbookView activeTab="0"/>
  </bookViews>
  <sheets>
    <sheet name="Gantt" sheetId="1" r:id="rId1"/>
  </sheets>
  <calcPr calcId="191029" iterateDelta="0.0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<sst xmlns="http://schemas.openxmlformats.org/spreadsheetml/2006/main" count="53" uniqueCount="47">
  <si>
    <t>Carta Gantt · Radiotelescopio de HI (IEE3896, 2026-2)</t>
  </si>
  <si>
    <t>◆ = Hito o entrega</t>
  </si>
  <si>
    <t>Día 1</t>
  </si>
  <si>
    <t>Lunes de cada semana →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</si>
  <si>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</si>
  <si>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</si>
  <si>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</si>
  <si>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</si>
  <si>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</si>
  <si>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</si>
  <si>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</si>
  <si>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</si>
  <si>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</si>
  <si>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N°</t>
  </si>
  <si>
    <t>Tarea</t>
  </si>
  <si>
    <t>Inicio</t>
  </si>
  <si>
    <t>Fin</t>
  </si>
  <si>
    <t>Días</t>
  </si>
  <si>
    <t>◆ Registrar título y entregar Definición del Proyecto</t>
  </si>
  <si>
    <t>Consultar viabilidad, reservar material y posibilidad de usar RFSoC</t>
  </si>
  <si>
    <t>X</t>
  </si>
  <si>
    <t>Pedir LNA + filtro de 1420 MHz</t>
  </si>
  <si>
    <t>Retirar equipos e instalar/aprender bien a usar softwares correspondientes</t>
  </si>
  <si>
    <t>Programa de adquisición de datos (FFT, promedio, registro)</t>
  </si>
  <si>
    <t>Cálculo analítico de la bocina y simulación en Ansys</t>
  </si>
  <si>
    <t>Definir material y comprar/conseguir</t>
  </si>
  <si>
    <t>Construcción de la bocina</t>
  </si>
  <si>
    <t>Censo de interferencias (RFI) 1.3–1.5 GHz</t>
  </si>
  <si>
    <t>Aprender RFSoC en el AIUC</t>
  </si>
  <si>
    <t>Medición de S11 con la VNA y caracterización de la antena (patrón de radiación).</t>
  </si>
  <si>
    <t>Reporte de avance (redacción)</t>
  </si>
  <si>
    <t>Configurar RFSoC</t>
  </si>
  <si>
    <t>◆ Entrega Reporte de avance</t>
  </si>
  <si>
    <t>Comparar caracterización y simulación</t>
  </si>
  <si>
    <t>Instalar horn en el sitio y calibrar</t>
  </si>
  <si>
    <t>Primera detección de la línea de HI</t>
  </si>
  <si>
    <t>Reporte final: borrador, resultados y discusión</t>
  </si>
  <si>
    <t>Observaciones y análisis de datos</t>
  </si>
  <si>
    <t>Póster, demostración, y ensayo</t>
  </si>
  <si>
    <t>Espectro con RFSoC</t>
  </si>
  <si>
    <t>◆ Feria Científica</t>
  </si>
  <si>
    <t>Reporte final</t>
  </si>
  <si>
    <t>◆ Entrega Reporte final</t>
  </si>
  <si>
    <t>Leyenda</t>
  </si>
  <si>
    <t>Semanas en que la tarea está activa</t>
  </si>
  <si>
    <t>◆ Hito o entrega</t>
  </si>
  <si>
    <t>Semana actual (encabezado)</t>
  </si>
</sst>
</file>

<file path=xl/styles.xml><?xml version="1.0" encoding="utf-8"?>
<styleSheet xmlns="http://schemas.openxmlformats.org/spreadsheetml/2006/main">
  <numFmts count="1">
    <numFmt numFmtId="164" formatCode="dd/mm"/>
  </numFmts>
  <fonts count="22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sz val="9"/>
      <color rgb="FF475569"/>
      <name val="Arial"/>
      <family val="2"/>
    </font>
    <font>
      <sz val="9"/>
      <color rgb="FF000000"/>
      <name val="Arial"/>
      <family val="2"/>
    </font>
    <font>
      <sz val="9"/>
      <color rgb="FF0000FF"/>
      <name val="Arial"/>
      <family val="2"/>
    </font>
    <font>
      <b/>
      <sz val="9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FF"/>
      <name val="Arial"/>
      <family val="2"/>
    </font>
    <font>
      <b/>
      <sz val="9"/>
      <color rgb="FF000000"/>
      <name val="Arial"/>
      <family val="2"/>
    </font>
    <font>
      <sz val="10"/>
      <color rgb="FF00B050"/>
      <name val="Arial"/>
      <family val="2"/>
    </font>
    <font>
      <sz val="10"/>
      <color rgb="FFFFFFFF"/>
      <name val="Arial"/>
      <family val="2"/>
    </font>
    <font>
      <sz val="11"/>
      <color rgb="FFFFFFFF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4"/>
      <color rgb="FFFFFFFF"/>
      <name val="Arial"/>
      <family val="2"/>
    </font>
    <font>
      <sz val="16"/>
      <color rgb="FFFFFFFF"/>
      <name val="Arial"/>
      <family val="2"/>
    </font>
    <font>
      <sz val="18"/>
      <color rgb="FFFFFFFF"/>
      <name val="Arial"/>
      <family val="2"/>
    </font>
    <font>
      <b/>
      <sz val="16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rgb="FFFFFFFF"/>
      <name val="Arial"/>
      <family val="2"/>
    </font>
  </fonts>
  <fills count="9">
    <fill>
      <patternFill patternType="none"/>
    </fill>
    <fill>
      <patternFill patternType="gray125">
        <bgColor indexed="64"/>
      </patternFill>
    </fill>
    <fill>
      <patternFill patternType="solid">
        <fgColor rgb="FFFFF9C4"/>
        <bgColor rgb="FFFEF3C7"/>
      </patternFill>
    </fill>
    <fill>
      <patternFill patternType="solid">
        <fgColor rgb="FF334155"/>
        <bgColor rgb="FF475569"/>
      </patternFill>
    </fill>
    <fill>
      <patternFill patternType="solid">
        <fgColor rgb="FF1E293B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59E0B"/>
        <bgColor rgb="FFFFCC00"/>
      </patternFill>
    </fill>
    <fill>
      <patternFill patternType="solid">
        <fgColor rgb="FFDC2626"/>
        <bgColor rgb="FF993300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2" borderId="0" xfId="0" applyNumberFormat="1" applyFont="1" applyFill="1" applyAlignment="1">
      <alignment horizontal="center" vertical="center"/>
    </xf>
    <xf numFmtId="0" fontId="0" fillId="3" borderId="0" xfId="0" applyFill="1"/>
    <xf numFmtId="0" fontId="5" fillId="3" borderId="0" xfId="0" applyFont="1" applyFill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164" fontId="9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10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1" fillId="0" borderId="1" xfId="0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EF3C7"/>
          <bgColor rgb="FFFEF3C7"/>
        </patternFill>
      </fill>
    </dxf>
    <dxf>
      <fill>
        <patternFill patternType="solid">
          <fgColor rgb="FFDC2626"/>
          <bgColor rgb="FFDC2626"/>
        </patternFill>
      </fill>
    </dxf>
    <dxf>
      <fill>
        <patternFill patternType="solid">
          <fgColor rgb="FFF59E0B"/>
          <bgColor rgb="FFF59E0B"/>
        </patternFill>
      </fill>
    </dxf>
    <dxf>
      <fill>
        <patternFill patternType="solid">
          <fgColor rgb="FF2563EB"/>
          <bgColor rgb="FF2563EB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/xl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35"/>
  <sheetViews>
    <sheetView tabSelected="1" showGridLines="0" zoomScale="120" zoomScaleNormal="120" workbookViewId="0">
      <pane xSplit="2" ySplit="6" topLeftCell="C7" activePane="bottomRight" state="frozen"/>
      <selection pane="bottomRight" activeCell="I9" sqref="I9"/>
    </sheetView>
  </sheetViews>
  <sheetFormatPr defaultColWidth="8.7109375" defaultRowHeight="15"/>
  <cols>
    <col min="1" max="1" width="5.00390625" customWidth="1"/>
    <col min="2" max="2" width="92.421875" customWidth="1"/>
    <col min="3" max="4" width="9.00390625" customWidth="1"/>
    <col min="5" max="5" width="6.00390625" customWidth="1"/>
    <col min="6" max="14" width="7.421875" customWidth="1"/>
  </cols>
  <sheetData>
    <row r="1" ht="19.09">
      <c r="A1" s="1" t="s">
        <v>0</v>
      </c>
    </row>
    <row r="2">
      <c r="A2" s="2" t="s">
        <v>1</v>
      </c>
    </row>
    <row r="3">
      <c r="A3" s="3" t="s">
        <v>2</v>
      </c>
      <c r="E3" s="4">
        <v>46293</v>
      </c>
    </row>
    <row r="5">
      <c r="A5" s="5"/>
      <c r="B5" s="6" t="s">
        <v>3</v>
      </c>
      <c r="C5" s="5"/>
      <c r="D5" s="5"/>
      <c r="E5" s="5"/>
      <c r="F5" s="7" t="s">
        <v>4</v>
      </c>
      <c r="G5" s="7" t="s">
        <v>5</v>
      </c>
      <c r="H5" s="7" t="s">
        <v>6</v>
      </c>
      <c r="I5" s="7" t="s">
        <v>7</v>
      </c>
      <c r="J5" s="7" t="s">
        <v>8</v>
      </c>
      <c r="K5" s="7" t="s">
        <v>9</v>
      </c>
      <c r="L5" s="7" t="s">
        <v>10</v>
      </c>
      <c r="M5" s="7" t="s">
        <v>11</v>
      </c>
      <c r="N5" s="7" t="s">
        <v>12</v>
      </c>
    </row>
    <row r="6">
      <c r="A6" s="8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9">
        <f>$E$3+0</f>
        <v>46293</v>
      </c>
      <c r="G6" s="9">
        <f>$E$3+7</f>
        <v>46300</v>
      </c>
      <c r="H6" s="9">
        <f>$E$3+14</f>
        <v>46307</v>
      </c>
      <c r="I6" s="9">
        <f>$E$3+21</f>
        <v>46314</v>
      </c>
      <c r="J6" s="9">
        <f>$E$3+28</f>
        <v>46321</v>
      </c>
      <c r="K6" s="9">
        <f>$E$3+35</f>
        <v>46328</v>
      </c>
      <c r="L6" s="9">
        <f>$E$3+42</f>
        <v>46335</v>
      </c>
      <c r="M6" s="9">
        <f>$E$3+49</f>
        <v>46342</v>
      </c>
      <c r="N6" s="9">
        <f>$E$3+56</f>
        <v>46349</v>
      </c>
    </row>
    <row r="7" ht="19.5" customHeight="1">
      <c r="A7" s="10">
        <v>1</v>
      </c>
      <c r="B7" s="11" t="s">
        <v>18</v>
      </c>
      <c r="C7" s="12">
        <v>46294</v>
      </c>
      <c r="D7" s="12">
        <v>46294</v>
      </c>
      <c r="E7" s="10">
        <f>D7-C7+1</f>
        <v>1</v>
      </c>
      <c r="F7" s="10"/>
      <c r="G7" s="10"/>
      <c r="H7" s="10"/>
      <c r="I7" s="10"/>
      <c r="J7" s="10"/>
      <c r="K7" s="10"/>
      <c r="L7" s="10"/>
      <c r="M7" s="10"/>
      <c r="N7" s="10"/>
    </row>
    <row r="8" ht="19.5" customHeight="1">
      <c r="A8" s="10">
        <v>2</v>
      </c>
      <c r="B8" s="13" t="s">
        <v>19</v>
      </c>
      <c r="C8" s="12">
        <v>46294</v>
      </c>
      <c r="D8" s="12">
        <v>46301</v>
      </c>
      <c r="E8" s="10">
        <f>D8-C8+1</f>
        <v>8</v>
      </c>
      <c r="F8" s="24" t="s">
        <v>20</v>
      </c>
      <c r="G8" s="32" t="s">
        <v>20</v>
      </c>
      <c r="H8" s="10"/>
      <c r="I8" s="10"/>
      <c r="J8" s="10"/>
      <c r="K8" s="10"/>
      <c r="L8" s="10"/>
      <c r="M8" s="10"/>
      <c r="N8" s="10"/>
    </row>
    <row r="9" ht="19.5" customHeight="1">
      <c r="A9" s="10">
        <v>3</v>
      </c>
      <c r="B9" s="13" t="s">
        <v>21</v>
      </c>
      <c r="C9" s="12">
        <v>46295</v>
      </c>
      <c r="D9" s="12">
        <v>46303</v>
      </c>
      <c r="E9" s="10">
        <f>D9-C9+1</f>
        <v>9</v>
      </c>
      <c r="F9" s="10"/>
      <c r="G9" s="10"/>
      <c r="H9" s="10"/>
      <c r="I9" s="10"/>
      <c r="J9" s="10"/>
      <c r="K9" s="10"/>
      <c r="L9" s="10"/>
      <c r="M9" s="10"/>
      <c r="N9" s="10"/>
    </row>
    <row r="10" ht="19.5" customHeight="1">
      <c r="A10" s="10">
        <v>4</v>
      </c>
      <c r="B10" s="13" t="s">
        <v>22</v>
      </c>
      <c r="C10" s="12">
        <v>46300</v>
      </c>
      <c r="D10" s="12">
        <v>46303</v>
      </c>
      <c r="E10" s="10">
        <f>D10-C10+1</f>
        <v>4</v>
      </c>
      <c r="F10" s="10"/>
      <c r="G10" s="32" t="s">
        <v>20</v>
      </c>
      <c r="H10" s="10"/>
      <c r="I10" s="10"/>
      <c r="J10" s="10"/>
      <c r="K10" s="10"/>
      <c r="L10" s="10"/>
      <c r="M10" s="10"/>
      <c r="N10" s="10"/>
    </row>
    <row r="11" ht="19.5" customHeight="1">
      <c r="A11" s="10">
        <v>5</v>
      </c>
      <c r="B11" s="13" t="s">
        <v>23</v>
      </c>
      <c r="C11" s="12">
        <v>46302</v>
      </c>
      <c r="D11" s="12">
        <v>46305</v>
      </c>
      <c r="E11" s="10">
        <f>D11-C11+1</f>
        <v>4</v>
      </c>
      <c r="F11" s="10"/>
      <c r="G11" s="32" t="s">
        <v>20</v>
      </c>
      <c r="H11" s="10"/>
      <c r="I11" s="10"/>
      <c r="J11" s="10"/>
      <c r="K11" s="10"/>
      <c r="L11" s="10"/>
      <c r="M11" s="10"/>
      <c r="N11" s="10"/>
    </row>
    <row r="12" ht="19.5" customHeight="1">
      <c r="A12" s="10">
        <v>6</v>
      </c>
      <c r="B12" s="13" t="s">
        <v>24</v>
      </c>
      <c r="C12" s="12">
        <v>46303</v>
      </c>
      <c r="D12" s="12">
        <v>46311</v>
      </c>
      <c r="E12" s="10">
        <f>D12-C12+1</f>
        <v>9</v>
      </c>
      <c r="F12" s="10"/>
      <c r="G12" s="32" t="s">
        <v>20</v>
      </c>
      <c r="H12" s="32" t="s">
        <v>20</v>
      </c>
      <c r="I12" s="10"/>
      <c r="J12" s="10"/>
      <c r="K12" s="10"/>
      <c r="L12" s="10"/>
      <c r="M12" s="10"/>
      <c r="N12" s="10"/>
    </row>
    <row r="13" ht="19.5" customHeight="1">
      <c r="A13" s="10">
        <v>8</v>
      </c>
      <c r="B13" s="13" t="s">
        <v>25</v>
      </c>
      <c r="C13" s="12">
        <v>46307</v>
      </c>
      <c r="D13" s="12">
        <v>46309</v>
      </c>
      <c r="E13" s="10">
        <f>D13-C13+1</f>
        <v>3</v>
      </c>
      <c r="F13" s="10"/>
      <c r="G13" s="10"/>
      <c r="H13" s="32" t="s">
        <v>20</v>
      </c>
      <c r="I13" s="10"/>
      <c r="J13" s="10"/>
      <c r="K13" s="10"/>
      <c r="L13" s="10"/>
      <c r="M13" s="10"/>
      <c r="N13" s="10"/>
    </row>
    <row r="14" ht="19.5" customHeight="1">
      <c r="A14" s="10">
        <v>9</v>
      </c>
      <c r="B14" s="13" t="s">
        <v>26</v>
      </c>
      <c r="C14" s="12">
        <v>46310</v>
      </c>
      <c r="D14" s="12">
        <v>46320</v>
      </c>
      <c r="E14" s="10">
        <f>D14-C14+1</f>
        <v>11</v>
      </c>
      <c r="F14" s="10"/>
      <c r="G14" s="10"/>
      <c r="H14" s="10"/>
      <c r="I14" s="10"/>
      <c r="J14" s="10"/>
      <c r="K14" s="10"/>
      <c r="L14" s="10"/>
      <c r="M14" s="10"/>
      <c r="N14" s="10"/>
    </row>
    <row r="15" ht="19.5" customHeight="1">
      <c r="A15" s="10">
        <v>10</v>
      </c>
      <c r="B15" s="13" t="s">
        <v>27</v>
      </c>
      <c r="C15" s="12">
        <v>46314</v>
      </c>
      <c r="D15" s="12">
        <v>46318</v>
      </c>
      <c r="E15" s="10">
        <f>D15-C15+1</f>
        <v>5</v>
      </c>
      <c r="F15" s="10"/>
      <c r="G15" s="10"/>
      <c r="H15" s="10"/>
      <c r="I15" s="10"/>
      <c r="J15" s="10"/>
      <c r="K15" s="10"/>
      <c r="L15" s="10"/>
      <c r="M15" s="10"/>
      <c r="N15" s="10"/>
    </row>
    <row r="16" ht="19.5" customHeight="1">
      <c r="A16" s="10">
        <v>11</v>
      </c>
      <c r="B16" s="13" t="s">
        <v>28</v>
      </c>
      <c r="C16" s="12">
        <v>46314</v>
      </c>
      <c r="D16" s="12">
        <v>46318</v>
      </c>
      <c r="E16" s="10">
        <f>D16-C16+1</f>
        <v>5</v>
      </c>
      <c r="F16" s="10"/>
      <c r="G16" s="10"/>
      <c r="H16" s="10"/>
      <c r="I16" s="10"/>
      <c r="J16" s="10"/>
      <c r="K16" s="10"/>
      <c r="L16" s="10"/>
      <c r="M16" s="10"/>
      <c r="N16" s="10"/>
    </row>
    <row r="17" ht="19.5" customHeight="1">
      <c r="A17" s="10">
        <v>12</v>
      </c>
      <c r="B17" s="13" t="s">
        <v>29</v>
      </c>
      <c r="C17" s="12">
        <v>46321</v>
      </c>
      <c r="D17" s="12">
        <v>46328</v>
      </c>
      <c r="E17" s="10">
        <f>D17-C17+1</f>
        <v>8</v>
      </c>
      <c r="F17" s="10"/>
      <c r="G17" s="10"/>
      <c r="H17" s="10"/>
      <c r="I17" s="10"/>
      <c r="J17" s="10"/>
      <c r="K17" s="10"/>
      <c r="L17" s="10"/>
      <c r="M17" s="10"/>
      <c r="N17" s="10"/>
    </row>
    <row r="18" ht="19.5" customHeight="1">
      <c r="A18" s="10">
        <v>13</v>
      </c>
      <c r="B18" s="13" t="s">
        <v>30</v>
      </c>
      <c r="C18" s="12">
        <v>46323</v>
      </c>
      <c r="D18" s="12">
        <v>46329</v>
      </c>
      <c r="E18" s="10">
        <f>D18-C18+1</f>
        <v>7</v>
      </c>
      <c r="F18" s="10"/>
      <c r="G18" s="10"/>
      <c r="H18" s="10"/>
      <c r="I18" s="10"/>
      <c r="J18" s="10"/>
      <c r="K18" s="10"/>
      <c r="L18" s="10"/>
      <c r="M18" s="10"/>
      <c r="N18" s="10"/>
    </row>
    <row r="19" ht="19.5" customHeight="1">
      <c r="A19" s="10">
        <v>15</v>
      </c>
      <c r="B19" s="13" t="s">
        <v>31</v>
      </c>
      <c r="C19" s="12">
        <v>46328</v>
      </c>
      <c r="D19" s="12">
        <v>46338</v>
      </c>
      <c r="E19" s="10">
        <f>D19-C19+1</f>
        <v>11</v>
      </c>
      <c r="F19" s="10"/>
      <c r="G19" s="10"/>
      <c r="H19" s="10"/>
      <c r="I19" s="10"/>
      <c r="J19" s="10"/>
      <c r="K19" s="10"/>
      <c r="L19" s="10"/>
      <c r="M19" s="10"/>
      <c r="N19" s="10"/>
    </row>
    <row r="20" ht="19.5" customHeight="1">
      <c r="A20" s="10">
        <v>16</v>
      </c>
      <c r="B20" s="11" t="s">
        <v>32</v>
      </c>
      <c r="C20" s="12">
        <v>46329</v>
      </c>
      <c r="D20" s="12">
        <v>46329</v>
      </c>
      <c r="E20" s="10">
        <f>D20-C20+1</f>
        <v>1</v>
      </c>
      <c r="F20" s="10"/>
      <c r="G20" s="10"/>
      <c r="H20" s="10"/>
      <c r="I20" s="10"/>
      <c r="J20" s="10"/>
      <c r="K20" s="10"/>
      <c r="L20" s="10"/>
      <c r="M20" s="10"/>
      <c r="N20" s="10"/>
    </row>
    <row r="21" ht="19.5" customHeight="1">
      <c r="A21" s="10">
        <v>17</v>
      </c>
      <c r="B21" s="13" t="s">
        <v>33</v>
      </c>
      <c r="C21" s="12">
        <v>46331</v>
      </c>
      <c r="D21" s="12">
        <v>46335</v>
      </c>
      <c r="E21" s="10">
        <f>D21-C21+1</f>
        <v>5</v>
      </c>
      <c r="F21" s="10"/>
      <c r="G21" s="10"/>
      <c r="H21" s="10"/>
      <c r="I21" s="10"/>
      <c r="J21" s="10"/>
      <c r="K21" s="10"/>
      <c r="L21" s="10"/>
      <c r="M21" s="10"/>
      <c r="N21" s="10"/>
    </row>
    <row r="22" ht="19.5" customHeight="1">
      <c r="A22" s="10">
        <v>18</v>
      </c>
      <c r="B22" s="13" t="s">
        <v>34</v>
      </c>
      <c r="C22" s="12">
        <v>46332</v>
      </c>
      <c r="D22" s="12">
        <v>46335</v>
      </c>
      <c r="E22" s="10">
        <f>D22-C22+1</f>
        <v>4</v>
      </c>
      <c r="F22" s="10"/>
      <c r="G22" s="10"/>
      <c r="H22" s="10"/>
      <c r="I22" s="10"/>
      <c r="J22" s="10"/>
      <c r="K22" s="10"/>
      <c r="L22" s="10"/>
      <c r="M22" s="10"/>
      <c r="N22" s="10"/>
    </row>
    <row r="23" ht="19.5" customHeight="1">
      <c r="A23" s="10">
        <v>19</v>
      </c>
      <c r="B23" s="13" t="s">
        <v>35</v>
      </c>
      <c r="C23" s="12">
        <v>46335</v>
      </c>
      <c r="D23" s="12">
        <v>46339</v>
      </c>
      <c r="E23" s="10">
        <f>D23-C23+1</f>
        <v>5</v>
      </c>
      <c r="F23" s="10"/>
      <c r="G23" s="10"/>
      <c r="H23" s="10"/>
      <c r="I23" s="10"/>
      <c r="J23" s="10"/>
      <c r="K23" s="10"/>
      <c r="L23" s="10"/>
      <c r="M23" s="10"/>
      <c r="N23" s="10"/>
    </row>
    <row r="24" ht="19.5" customHeight="1">
      <c r="A24" s="10">
        <v>20</v>
      </c>
      <c r="B24" s="13" t="s">
        <v>36</v>
      </c>
      <c r="C24" s="12">
        <v>46335</v>
      </c>
      <c r="D24" s="12">
        <v>46348</v>
      </c>
      <c r="E24" s="10">
        <f>D24-C24+1</f>
        <v>14</v>
      </c>
      <c r="F24" s="10"/>
      <c r="G24" s="10"/>
      <c r="H24" s="10"/>
      <c r="I24" s="10"/>
      <c r="J24" s="10"/>
      <c r="K24" s="10"/>
      <c r="L24" s="10"/>
      <c r="M24" s="10"/>
      <c r="N24" s="10"/>
    </row>
    <row r="25" ht="19.5" customHeight="1">
      <c r="A25" s="10">
        <v>21</v>
      </c>
      <c r="B25" s="13" t="s">
        <v>37</v>
      </c>
      <c r="C25" s="12">
        <v>46338</v>
      </c>
      <c r="D25" s="12">
        <v>46347</v>
      </c>
      <c r="E25" s="10">
        <f>D25-C25+1</f>
        <v>10</v>
      </c>
      <c r="F25" s="10"/>
      <c r="G25" s="10"/>
      <c r="H25" s="10"/>
      <c r="I25" s="10"/>
      <c r="J25" s="10"/>
      <c r="K25" s="10"/>
      <c r="L25" s="10"/>
      <c r="M25" s="10"/>
      <c r="N25" s="10"/>
    </row>
    <row r="26" ht="19.5" customHeight="1">
      <c r="A26" s="10">
        <v>22</v>
      </c>
      <c r="B26" s="13" t="s">
        <v>38</v>
      </c>
      <c r="C26" s="12">
        <v>46339</v>
      </c>
      <c r="D26" s="12">
        <v>46348</v>
      </c>
      <c r="E26" s="10">
        <f>D26-C26+1</f>
        <v>10</v>
      </c>
      <c r="F26" s="10"/>
      <c r="G26" s="10"/>
      <c r="H26" s="10"/>
      <c r="I26" s="10"/>
      <c r="J26" s="10"/>
      <c r="K26" s="10"/>
      <c r="L26" s="10"/>
      <c r="M26" s="10"/>
      <c r="N26" s="10"/>
    </row>
    <row r="27" ht="19.5" customHeight="1">
      <c r="A27" s="10">
        <v>23</v>
      </c>
      <c r="B27" s="13" t="s">
        <v>39</v>
      </c>
      <c r="C27" s="12">
        <v>46340</v>
      </c>
      <c r="D27" s="12">
        <v>46346</v>
      </c>
      <c r="E27" s="10">
        <f>D27-C27+1</f>
        <v>7</v>
      </c>
      <c r="F27" s="10"/>
      <c r="G27" s="10"/>
      <c r="H27" s="10"/>
      <c r="I27" s="10"/>
      <c r="J27" s="10"/>
      <c r="K27" s="10"/>
      <c r="L27" s="10"/>
      <c r="M27" s="10"/>
      <c r="N27" s="10"/>
    </row>
    <row r="28" ht="19.5" customHeight="1">
      <c r="A28" s="10">
        <v>24</v>
      </c>
      <c r="B28" s="11" t="s">
        <v>40</v>
      </c>
      <c r="C28" s="12">
        <v>46349</v>
      </c>
      <c r="D28" s="12">
        <v>46349</v>
      </c>
      <c r="E28" s="10">
        <f>D28-C28+1</f>
        <v>1</v>
      </c>
      <c r="F28" s="10"/>
      <c r="G28" s="10"/>
      <c r="H28" s="10"/>
      <c r="I28" s="10"/>
      <c r="J28" s="10"/>
      <c r="K28" s="10"/>
      <c r="L28" s="10"/>
      <c r="M28" s="10"/>
      <c r="N28" s="10"/>
    </row>
    <row r="29" ht="19.5" customHeight="1">
      <c r="A29" s="10">
        <v>25</v>
      </c>
      <c r="B29" s="13" t="s">
        <v>41</v>
      </c>
      <c r="C29" s="12">
        <v>46349</v>
      </c>
      <c r="D29" s="12">
        <v>46352</v>
      </c>
      <c r="E29" s="10">
        <f>D29-C29+1</f>
        <v>4</v>
      </c>
      <c r="F29" s="10"/>
      <c r="G29" s="10"/>
      <c r="H29" s="10"/>
      <c r="I29" s="10"/>
      <c r="J29" s="10"/>
      <c r="K29" s="10"/>
      <c r="L29" s="10"/>
      <c r="M29" s="10"/>
      <c r="N29" s="10"/>
    </row>
    <row r="30" ht="19.5" customHeight="1">
      <c r="A30" s="10">
        <v>26</v>
      </c>
      <c r="B30" s="11" t="s">
        <v>42</v>
      </c>
      <c r="C30" s="12">
        <v>46352</v>
      </c>
      <c r="D30" s="12">
        <v>46352</v>
      </c>
      <c r="E30" s="10">
        <f>D30-C30+1</f>
        <v>1</v>
      </c>
      <c r="F30" s="10"/>
      <c r="G30" s="10"/>
      <c r="H30" s="10"/>
      <c r="I30" s="10"/>
      <c r="J30" s="10"/>
      <c r="K30" s="10"/>
      <c r="L30" s="10"/>
      <c r="M30" s="10"/>
      <c r="N30" s="10"/>
    </row>
    <row r="32">
      <c r="B32" s="14" t="s">
        <v>43</v>
      </c>
    </row>
    <row r="33">
      <c r="A33" s="15"/>
      <c r="B33" s="3" t="s">
        <v>44</v>
      </c>
    </row>
    <row r="34">
      <c r="A34" s="16"/>
      <c r="B34" s="3" t="s">
        <v>45</v>
      </c>
    </row>
    <row r="35">
      <c r="A35" s="17"/>
      <c r="B35" s="3" t="s">
        <v>46</v>
      </c>
    </row>
  </sheetData>
  <conditionalFormatting sqref="A7:E30">
    <cfRule type="expression" dxfId="0" priority="4">
      <formula>LEFT($B7,1)="◆"</formula>
    </cfRule>
  </conditionalFormatting>
  <conditionalFormatting sqref="F5:N6">
    <cfRule type="expression" dxfId="1" priority="3">
      <formula>AND(TODAY()&gt;=F$6,TODAY()&lt;=F$6+6)</formula>
    </cfRule>
  </conditionalFormatting>
  <conditionalFormatting sqref="F7:N30">
    <cfRule type="expression" dxfId="2" priority="1">
      <formula>AND(LEFT($B7,1)="◆",AND(F$6&lt;=$D7,F$6+6&gt;=$C7))</formula>
    </cfRule>
  </conditionalFormatting>
  <conditionalFormatting sqref="F7:N30">
    <cfRule type="expression" dxfId="3" priority="2">
      <formula>AND(F$6&lt;=$D7,F$6+6&gt;=$C7)</formula>
    </cfRule>
  </conditionalFormatting>
  <pageMargins left="0.75" right="0.75" top="1" bottom="1" header="0.5118110179901123" footer="0.5118110179901123"/>
  <pageSetup fitToWidth="1" fitToHeight="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