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uccl0-my.sharepoint.com/personal/jmondacaf_uc_cl/Documents/Universidad/Décimo Semestre/Teoría y Diseño de Antenas/Proyecto/"/>
    </mc:Choice>
  </mc:AlternateContent>
  <xr:revisionPtr revIDLastSave="4" documentId="13_ncr:1_{82B4E092-5790-49E9-B461-0DD5A29D4A53}" xr6:coauthVersionLast="47" xr6:coauthVersionMax="47" xr10:uidLastSave="{C4FC638D-2830-4967-B188-EAA32A491A85}"/>
  <bookViews>
    <workbookView xWindow="-120" yWindow="-120" windowWidth="20730" windowHeight="11040" tabRatio="500" xr2:uid="{00000000-000D-0000-FFFF-FFFF00000000}"/>
  </bookViews>
  <sheets>
    <sheet name="Gant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30" i="1" l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N6" i="1"/>
  <c r="M6" i="1"/>
  <c r="L6" i="1"/>
  <c r="K6" i="1"/>
  <c r="J6" i="1"/>
  <c r="I6" i="1"/>
  <c r="H6" i="1"/>
  <c r="G6" i="1"/>
  <c r="F6" i="1"/>
</calcChain>
</file>

<file path=xl/sharedStrings.xml><?xml version="1.0" encoding="utf-8"?>
<sst xmlns="http://schemas.openxmlformats.org/spreadsheetml/2006/main" count="46" uniqueCount="46">
  <si>
    <t>Carta Gantt · Radiotelescopio de HI (IEE3896, 2026-2)</t>
  </si>
  <si>
    <t>Lunes de cada semana →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</si>
  <si>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</si>
  <si>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</si>
  <si>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</si>
  <si>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</si>
  <si>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</si>
  <si>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</si>
  <si>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</si>
  <si>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</si>
  <si>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</si>
  <si>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N°</t>
  </si>
  <si>
    <t>Tarea</t>
  </si>
  <si>
    <t>Inicio</t>
  </si>
  <si>
    <t>Fin</t>
  </si>
  <si>
    <t>Días</t>
  </si>
  <si>
    <t>◆ Registrar título y entregar Definición del Proyecto</t>
  </si>
  <si>
    <t>Pedir LNA + filtro de 1420 MHz</t>
  </si>
  <si>
    <t>Programa de adquisición de datos (FFT, promedio, registro)</t>
  </si>
  <si>
    <t>Construcción de la bocina</t>
  </si>
  <si>
    <t>Censo de interferencias (RFI) 1.3–1.5 GHz</t>
  </si>
  <si>
    <t>Reporte de avance (redacción)</t>
  </si>
  <si>
    <t>◆ Entrega Reporte de avance</t>
  </si>
  <si>
    <t>Reporte final: borrador, resultados y discusión</t>
  </si>
  <si>
    <t>◆ Entrega Reporte final</t>
  </si>
  <si>
    <t>Leyenda</t>
  </si>
  <si>
    <t>Semanas en que la tarea está activa</t>
  </si>
  <si>
    <t>◆ Hito o entrega</t>
  </si>
  <si>
    <t>Semana actual (encabezado)</t>
  </si>
  <si>
    <t>◆ = Hito o entrega</t>
  </si>
  <si>
    <t>Día 1</t>
  </si>
  <si>
    <t>Consultar viabilidad, reservar material y posibilidad de usar RFSoC</t>
  </si>
  <si>
    <t>Retirar equipos e instalar/aprender bien a usar softwares correspondientes</t>
  </si>
  <si>
    <t>Cálculo analítico de la bocina y simulación en Ansys</t>
  </si>
  <si>
    <t>Definir material y comprar/conseguir</t>
  </si>
  <si>
    <t>Medición de S11 con la VNA y caracterización de la antena (patrón de radiación).</t>
  </si>
  <si>
    <t>Aprender RFSoC en el AIUC</t>
  </si>
  <si>
    <t>Configurar RFSoC</t>
  </si>
  <si>
    <t>Comparar caracterización y simulación</t>
  </si>
  <si>
    <r>
      <t xml:space="preserve">Instalar </t>
    </r>
    <r>
      <rPr>
        <i/>
        <sz val="10"/>
        <color rgb="FF000000"/>
        <rFont val="Arial"/>
        <family val="2"/>
      </rPr>
      <t>horn</t>
    </r>
    <r>
      <rPr>
        <sz val="10"/>
        <color rgb="FF000000"/>
        <rFont val="Arial"/>
        <charset val="1"/>
      </rPr>
      <t xml:space="preserve"> en el sitio y calibrar</t>
    </r>
  </si>
  <si>
    <t>Primera detección de la línea de HI</t>
  </si>
  <si>
    <t>Observaciones y análisis de datos</t>
  </si>
  <si>
    <t>Póster, demostración, y ensayo</t>
  </si>
  <si>
    <t>Espectro con RFSoC</t>
  </si>
  <si>
    <t>◆ Feria Científica</t>
  </si>
  <si>
    <t>Reporte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</si>
</sst>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14" x14ac:knownFonts="1">
    <font>
      <sz val="11"/>
      <color theme="1"/>
      <name val="Calibri"/>
      <family val="2"/>
      <charset val="1"/>
    </font>
    <font>
      <b/>
      <sz val="14"/>
      <color rgb="FF000000"/>
      <name val="Arial"/>
      <charset val="1"/>
    </font>
    <font>
      <sz val="9"/>
      <color rgb="FF475569"/>
      <name val="Arial"/>
      <charset val="1"/>
    </font>
    <font>
      <sz val="9"/>
      <color rgb="FF000000"/>
      <name val="Arial"/>
      <charset val="1"/>
    </font>
    <font>
      <sz val="9"/>
      <color rgb="FF0000FF"/>
      <name val="Arial"/>
      <charset val="1"/>
    </font>
    <font>
      <b/>
      <sz val="9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sz val="10"/>
      <color rgb="FF0000FF"/>
      <name val="Arial"/>
      <charset val="1"/>
    </font>
    <font>
      <b/>
      <sz val="9"/>
      <color rgb="FF000000"/>
      <name val="Arial"/>
      <charset val="1"/>
    </font>
    <font>
      <i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9C4"/>
        <bgColor rgb="FFFEF3C7"/>
      </patternFill>
    </fill>
    <fill>
      <patternFill patternType="solid">
        <fgColor rgb="FF334155"/>
        <bgColor rgb="FF475569"/>
      </patternFill>
    </fill>
    <fill>
      <patternFill patternType="solid">
        <fgColor rgb="FF1E293B"/>
        <bgColor rgb="FF003366"/>
      </patternFill>
    </fill>
    <fill>
      <patternFill patternType="solid">
        <fgColor rgb="FF2563EB"/>
        <bgColor rgb="FF0066CC"/>
      </patternFill>
    </fill>
    <fill>
      <patternFill patternType="solid">
        <fgColor rgb="FFF59E0B"/>
        <bgColor rgb="FFFFCC00"/>
      </patternFill>
    </fill>
    <fill>
      <patternFill patternType="solid">
        <fgColor rgb="FFDC2626"/>
        <bgColor rgb="FF9933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4" fillId="2" borderId="0" xfId="0" applyNumberFormat="1" applyFont="1" applyFill="1" applyAlignment="1">
      <alignment horizontal="center" vertical="center"/>
    </xf>
    <xf numFmtId="0" fontId="0" fillId="3" borderId="0" xfId="0" applyFill="1"/>
    <xf numFmtId="0" fontId="5" fillId="3" borderId="0" xfId="0" applyFont="1" applyFill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164" fontId="5" fillId="4" borderId="0" xfId="0" applyNumberFormat="1" applyFont="1" applyFill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164" fontId="9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10" fillId="0" borderId="0" xfId="0" applyFont="1"/>
    <xf numFmtId="0" fontId="0" fillId="5" borderId="0" xfId="0" applyFill="1"/>
    <xf numFmtId="0" fontId="0" fillId="6" borderId="0" xfId="0" applyFill="1"/>
    <xf numFmtId="0" fontId="0" fillId="7" borderId="0" xfId="0" applyFill="1"/>
    <xf numFmtId="0" fontId="12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</cellXfs>
  <cellStyles count="1">
    <cellStyle name="Normal" xfId="0" builtinId="0"/>
  </cellStyles>
  <dxfs count="4">
    <dxf>
      <fill>
        <patternFill>
          <bgColor rgb="FF2563EB"/>
        </patternFill>
      </fill>
    </dxf>
    <dxf>
      <fill>
        <patternFill>
          <bgColor rgb="FFF59E0B"/>
        </patternFill>
      </fill>
    </dxf>
    <dxf>
      <fill>
        <patternFill>
          <bgColor rgb="FFDC2626"/>
        </patternFill>
      </fill>
    </dxf>
    <dxf>
      <fill>
        <patternFill>
          <bgColor rgb="FFFEF3C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CCFF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EF3C7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59E0B"/>
      <rgbColor rgb="FFFF6600"/>
      <rgbColor rgb="FF475569"/>
      <rgbColor rgb="FF969696"/>
      <rgbColor rgb="FF003366"/>
      <rgbColor rgb="FF339966"/>
      <rgbColor rgb="FF003300"/>
      <rgbColor rgb="FF333300"/>
      <rgbColor rgb="FF993300"/>
      <rgbColor rgb="FF993366"/>
      <rgbColor rgb="FF334155"/>
      <rgbColor rgb="FF1E29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5"/>
  <sheetViews>
    <sheetView showGridLines="0" tabSelected="1" zoomScale="62" zoomScaleNormal="52" workbookViewId="0">
      <pane xSplit="2" ySplit="6" topLeftCell="C9" activePane="bottomRight" state="frozen"/>
      <selection pane="topRight" activeCell="C1" sqref="C1"/>
      <selection pane="bottomLeft" activeCell="A7" sqref="A7"/>
      <selection pane="bottomRight" activeCell="C1" sqref="B1:C1"/>
    </sheetView>
  </sheetViews>
  <sheetFormatPr baseColWidth="10" defaultColWidth="8.7109375" defaultRowHeight="15" x14ac:dyDescent="0.25"/>
  <cols>
    <col min="1" max="1" width="5" customWidth="1"/>
    <col min="2" max="2" width="92.42578125" customWidth="1"/>
    <col min="3" max="4" width="9" customWidth="1"/>
    <col min="5" max="5" width="6" customWidth="1"/>
    <col min="6" max="14" width="7.42578125" customWidth="1"/>
  </cols>
  <sheetData>
    <row r="1" spans="1:14" ht="18" x14ac:dyDescent="0.25">
      <c r="A1" s="1" t="s">
        <v>0</v>
      </c>
    </row>
    <row r="2" spans="1:14" x14ac:dyDescent="0.25">
      <c r="A2" s="2" t="s">
        <v>29</v>
      </c>
    </row>
    <row r="3" spans="1:14" x14ac:dyDescent="0.25">
      <c r="A3" s="3" t="s">
        <v>30</v>
      </c>
      <c r="E3" s="4">
        <v>46293</v>
      </c>
    </row>
    <row r="5" spans="1:14" x14ac:dyDescent="0.25">
      <c r="A5" s="5"/>
      <c r="B5" s="6" t="s">
        <v>1</v>
      </c>
      <c r="C5" s="5"/>
      <c r="D5" s="5"/>
      <c r="E5" s="5"/>
      <c r="F5" s="7" t="s">
        <v>2</v>
      </c>
      <c r="G5" s="7" t="s">
        <v>3</v>
      </c>
      <c r="H5" s="7" t="s">
        <v>4</v>
      </c>
      <c r="I5" s="7" t="s">
        <v>5</v>
      </c>
      <c r="J5" s="7" t="s">
        <v>6</v>
      </c>
      <c r="K5" s="7" t="s">
        <v>7</v>
      </c>
      <c r="L5" s="7" t="s">
        <v>8</v>
      </c>
      <c r="M5" s="7" t="s">
        <v>9</v>
      </c>
      <c r="N5" s="7" t="s">
        <v>10</v>
      </c>
    </row>
    <row r="6" spans="1:14" x14ac:dyDescent="0.25">
      <c r="A6" s="8" t="s">
        <v>11</v>
      </c>
      <c r="B6" s="8" t="s">
        <v>12</v>
      </c>
      <c r="C6" s="8" t="s">
        <v>13</v>
      </c>
      <c r="D6" s="8" t="s">
        <v>14</v>
      </c>
      <c r="E6" s="8" t="s">
        <v>15</v>
      </c>
      <c r="F6" s="9">
        <f>$E$3+0</f>
        <v>46293</v>
      </c>
      <c r="G6" s="9">
        <f>$E$3+7</f>
        <v>46300</v>
      </c>
      <c r="H6" s="9">
        <f>$E$3+14</f>
        <v>46307</v>
      </c>
      <c r="I6" s="9">
        <f>$E$3+21</f>
        <v>46314</v>
      </c>
      <c r="J6" s="9">
        <f>$E$3+28</f>
        <v>46321</v>
      </c>
      <c r="K6" s="9">
        <f>$E$3+35</f>
        <v>46328</v>
      </c>
      <c r="L6" s="9">
        <f>$E$3+42</f>
        <v>46335</v>
      </c>
      <c r="M6" s="9">
        <f>$E$3+49</f>
        <v>46342</v>
      </c>
      <c r="N6" s="9">
        <f>$E$3+56</f>
        <v>46349</v>
      </c>
    </row>
    <row r="7" spans="1:14" ht="19.5" customHeight="1" x14ac:dyDescent="0.25">
      <c r="A7" s="10">
        <v>1</v>
      </c>
      <c r="B7" s="11" t="s">
        <v>16</v>
      </c>
      <c r="C7" s="12">
        <v>46294</v>
      </c>
      <c r="D7" s="12">
        <v>46294</v>
      </c>
      <c r="E7" s="10">
        <f t="shared" ref="E7:E30" si="0">D7-C7+1</f>
        <v>1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9.5" customHeight="1" x14ac:dyDescent="0.25">
      <c r="A8" s="10">
        <v>2</v>
      </c>
      <c r="B8" s="13" t="s">
        <v>31</v>
      </c>
      <c r="C8" s="12">
        <v>46294</v>
      </c>
      <c r="D8" s="12">
        <v>46301</v>
      </c>
      <c r="E8" s="10">
        <f t="shared" si="0"/>
        <v>8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9.5" customHeight="1" x14ac:dyDescent="0.25">
      <c r="A9" s="10">
        <v>3</v>
      </c>
      <c r="B9" s="13" t="s">
        <v>17</v>
      </c>
      <c r="C9" s="12">
        <v>46295</v>
      </c>
      <c r="D9" s="12">
        <v>46303</v>
      </c>
      <c r="E9" s="10">
        <f t="shared" si="0"/>
        <v>9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9.5" customHeight="1" x14ac:dyDescent="0.25">
      <c r="A10" s="10">
        <v>4</v>
      </c>
      <c r="B10" s="13" t="s">
        <v>32</v>
      </c>
      <c r="C10" s="12">
        <v>46300</v>
      </c>
      <c r="D10" s="12">
        <v>46303</v>
      </c>
      <c r="E10" s="10">
        <f t="shared" si="0"/>
        <v>4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9.5" customHeight="1" x14ac:dyDescent="0.25">
      <c r="A11" s="10">
        <v>5</v>
      </c>
      <c r="B11" s="18" t="s">
        <v>18</v>
      </c>
      <c r="C11" s="12">
        <v>46302</v>
      </c>
      <c r="D11" s="12">
        <v>46305</v>
      </c>
      <c r="E11" s="10">
        <f t="shared" si="0"/>
        <v>4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9.5" customHeight="1" x14ac:dyDescent="0.25">
      <c r="A12" s="10">
        <v>6</v>
      </c>
      <c r="B12" s="13" t="s">
        <v>33</v>
      </c>
      <c r="C12" s="12">
        <v>46303</v>
      </c>
      <c r="D12" s="12">
        <v>46311</v>
      </c>
      <c r="E12" s="10">
        <f t="shared" si="0"/>
        <v>9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9.5" customHeight="1" x14ac:dyDescent="0.25">
      <c r="A13" s="10">
        <v>8</v>
      </c>
      <c r="B13" s="13" t="s">
        <v>34</v>
      </c>
      <c r="C13" s="12">
        <v>46307</v>
      </c>
      <c r="D13" s="12">
        <v>46309</v>
      </c>
      <c r="E13" s="10">
        <f t="shared" si="0"/>
        <v>3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9.5" customHeight="1" x14ac:dyDescent="0.25">
      <c r="A14" s="10">
        <v>9</v>
      </c>
      <c r="B14" s="13" t="s">
        <v>19</v>
      </c>
      <c r="C14" s="12">
        <v>46310</v>
      </c>
      <c r="D14" s="12">
        <v>46320</v>
      </c>
      <c r="E14" s="10">
        <f t="shared" si="0"/>
        <v>11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9.5" customHeight="1" x14ac:dyDescent="0.25">
      <c r="A15" s="10">
        <v>10</v>
      </c>
      <c r="B15" s="13" t="s">
        <v>20</v>
      </c>
      <c r="C15" s="12">
        <v>46314</v>
      </c>
      <c r="D15" s="12">
        <v>46318</v>
      </c>
      <c r="E15" s="10">
        <f t="shared" si="0"/>
        <v>5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9.5" customHeight="1" x14ac:dyDescent="0.25">
      <c r="A16" s="10">
        <v>11</v>
      </c>
      <c r="B16" s="13" t="s">
        <v>36</v>
      </c>
      <c r="C16" s="12">
        <v>46314</v>
      </c>
      <c r="D16" s="12">
        <v>46318</v>
      </c>
      <c r="E16" s="10">
        <f t="shared" si="0"/>
        <v>5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9.5" customHeight="1" x14ac:dyDescent="0.25">
      <c r="A17" s="10">
        <v>12</v>
      </c>
      <c r="B17" s="13" t="s">
        <v>35</v>
      </c>
      <c r="C17" s="12">
        <v>46321</v>
      </c>
      <c r="D17" s="12">
        <v>46328</v>
      </c>
      <c r="E17" s="10">
        <f t="shared" si="0"/>
        <v>8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9.5" customHeight="1" x14ac:dyDescent="0.25">
      <c r="A18" s="10">
        <v>13</v>
      </c>
      <c r="B18" s="13" t="s">
        <v>21</v>
      </c>
      <c r="C18" s="12">
        <v>46323</v>
      </c>
      <c r="D18" s="12">
        <v>46329</v>
      </c>
      <c r="E18" s="10">
        <f t="shared" si="0"/>
        <v>7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9.5" customHeight="1" x14ac:dyDescent="0.25">
      <c r="A19" s="10">
        <v>15</v>
      </c>
      <c r="B19" s="13" t="s">
        <v>37</v>
      </c>
      <c r="C19" s="12">
        <v>46328</v>
      </c>
      <c r="D19" s="12">
        <v>46338</v>
      </c>
      <c r="E19" s="10">
        <f t="shared" si="0"/>
        <v>11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9.5" customHeight="1" x14ac:dyDescent="0.25">
      <c r="A20" s="10">
        <v>16</v>
      </c>
      <c r="B20" s="11" t="s">
        <v>22</v>
      </c>
      <c r="C20" s="12">
        <v>46329</v>
      </c>
      <c r="D20" s="12">
        <v>46329</v>
      </c>
      <c r="E20" s="10">
        <f t="shared" si="0"/>
        <v>1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9.5" customHeight="1" x14ac:dyDescent="0.25">
      <c r="A21" s="10">
        <v>17</v>
      </c>
      <c r="B21" s="13" t="s">
        <v>38</v>
      </c>
      <c r="C21" s="12">
        <v>46331</v>
      </c>
      <c r="D21" s="12">
        <v>46335</v>
      </c>
      <c r="E21" s="10">
        <f t="shared" si="0"/>
        <v>5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9.5" customHeight="1" x14ac:dyDescent="0.25">
      <c r="A22" s="10">
        <v>18</v>
      </c>
      <c r="B22" s="18" t="s">
        <v>39</v>
      </c>
      <c r="C22" s="12">
        <v>46332</v>
      </c>
      <c r="D22" s="12">
        <v>46335</v>
      </c>
      <c r="E22" s="10">
        <f t="shared" si="0"/>
        <v>4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9.5" customHeight="1" x14ac:dyDescent="0.25">
      <c r="A23" s="10">
        <v>19</v>
      </c>
      <c r="B23" s="18" t="s">
        <v>40</v>
      </c>
      <c r="C23" s="12">
        <v>46335</v>
      </c>
      <c r="D23" s="12">
        <v>46339</v>
      </c>
      <c r="E23" s="10">
        <f t="shared" si="0"/>
        <v>5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9.5" customHeight="1" x14ac:dyDescent="0.25">
      <c r="A24" s="10">
        <v>20</v>
      </c>
      <c r="B24" s="13" t="s">
        <v>23</v>
      </c>
      <c r="C24" s="12">
        <v>46335</v>
      </c>
      <c r="D24" s="12">
        <v>46348</v>
      </c>
      <c r="E24" s="10">
        <f t="shared" si="0"/>
        <v>14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9.5" customHeight="1" x14ac:dyDescent="0.25">
      <c r="A25" s="10">
        <v>21</v>
      </c>
      <c r="B25" s="18" t="s">
        <v>41</v>
      </c>
      <c r="C25" s="12">
        <v>46338</v>
      </c>
      <c r="D25" s="12">
        <v>46347</v>
      </c>
      <c r="E25" s="10">
        <f t="shared" si="0"/>
        <v>10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9.5" customHeight="1" x14ac:dyDescent="0.25">
      <c r="A26" s="10">
        <v>22</v>
      </c>
      <c r="B26" s="18" t="s">
        <v>42</v>
      </c>
      <c r="C26" s="12">
        <v>46339</v>
      </c>
      <c r="D26" s="12">
        <v>46348</v>
      </c>
      <c r="E26" s="10">
        <f t="shared" si="0"/>
        <v>10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9.5" customHeight="1" x14ac:dyDescent="0.25">
      <c r="A27" s="10">
        <v>23</v>
      </c>
      <c r="B27" s="18" t="s">
        <v>43</v>
      </c>
      <c r="C27" s="12">
        <v>46340</v>
      </c>
      <c r="D27" s="12">
        <v>46346</v>
      </c>
      <c r="E27" s="10">
        <f t="shared" si="0"/>
        <v>7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9.5" customHeight="1" x14ac:dyDescent="0.25">
      <c r="A28" s="10">
        <v>24</v>
      </c>
      <c r="B28" s="19" t="s">
        <v>44</v>
      </c>
      <c r="C28" s="12">
        <v>46349</v>
      </c>
      <c r="D28" s="12">
        <v>46349</v>
      </c>
      <c r="E28" s="10">
        <f t="shared" si="0"/>
        <v>1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9.5" customHeight="1" x14ac:dyDescent="0.25">
      <c r="A29" s="10">
        <v>25</v>
      </c>
      <c r="B29" s="18" t="s">
        <v>45</v>
      </c>
      <c r="C29" s="12">
        <v>46349</v>
      </c>
      <c r="D29" s="12">
        <v>46352</v>
      </c>
      <c r="E29" s="10">
        <f t="shared" si="0"/>
        <v>4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9.5" customHeight="1" x14ac:dyDescent="0.25">
      <c r="A30" s="10">
        <v>26</v>
      </c>
      <c r="B30" s="11" t="s">
        <v>24</v>
      </c>
      <c r="C30" s="12">
        <v>46352</v>
      </c>
      <c r="D30" s="12">
        <v>46352</v>
      </c>
      <c r="E30" s="10">
        <f t="shared" si="0"/>
        <v>1</v>
      </c>
      <c r="F30" s="10"/>
      <c r="G30" s="10"/>
      <c r="H30" s="10"/>
      <c r="I30" s="10"/>
      <c r="J30" s="10"/>
      <c r="K30" s="10"/>
      <c r="L30" s="10"/>
      <c r="M30" s="10"/>
      <c r="N30" s="10"/>
    </row>
    <row r="32" spans="1:14" x14ac:dyDescent="0.25">
      <c r="B32" s="14" t="s">
        <v>25</v>
      </c>
    </row>
    <row r="33" spans="1:2" x14ac:dyDescent="0.25">
      <c r="A33" s="15"/>
      <c r="B33" s="3" t="s">
        <v>26</v>
      </c>
    </row>
    <row r="34" spans="1:2" x14ac:dyDescent="0.25">
      <c r="A34" s="16"/>
      <c r="B34" s="3" t="s">
        <v>27</v>
      </c>
    </row>
    <row r="35" spans="1:2" x14ac:dyDescent="0.25">
      <c r="A35" s="17"/>
      <c r="B35" s="3" t="s">
        <v>28</v>
      </c>
    </row>
  </sheetData>
  <conditionalFormatting sqref="A7:E30">
    <cfRule type="expression" dxfId="3" priority="5">
      <formula>LEFT($B7,1)="◆"</formula>
    </cfRule>
  </conditionalFormatting>
  <conditionalFormatting sqref="F5:N6">
    <cfRule type="expression" dxfId="2" priority="4">
      <formula>AND(TODAY()&gt;=F$6,TODAY()&lt;=F$6+6)</formula>
    </cfRule>
  </conditionalFormatting>
  <conditionalFormatting sqref="F7:N30">
    <cfRule type="expression" dxfId="1" priority="2">
      <formula>AND(LEFT($B7,1)="◆",AND(F$6&lt;=$D7,F$6+6&gt;=$C7))</formula>
    </cfRule>
    <cfRule type="expression" dxfId="0" priority="3">
      <formula>AND(F$6&lt;=$D7,F$6+6&gt;=$C7)</formula>
    </cfRule>
  </conditionalFormatting>
  <pageMargins left="0.75" right="0.75" top="1" bottom="1" header="0.511811023622047" footer="0.511811023622047"/>
  <pageSetup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Joaquín Mondaca Fellenberg</cp:lastModifiedBy>
  <cp:revision>0</cp:revision>
  <dcterms:created xsi:type="dcterms:W3CDTF">2026-09-29T12:16:24Z</dcterms:created>
  <dcterms:modified xsi:type="dcterms:W3CDTF">2026-09-29T12:59:28Z</dcterms:modified>
  <dc:language>en-US</dc:language>
</cp:coreProperties>
</file>